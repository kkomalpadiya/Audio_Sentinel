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7877ac2f9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4797516cdc42fb"/>
    <x:sheet xmlns:r="http://schemas.openxmlformats.org/officeDocument/2006/relationships" name="Task Register" sheetId="2" r:id="R14c1de64cfb6415d"/>
    <x:sheet xmlns:r="http://schemas.openxmlformats.org/officeDocument/2006/relationships" name="Collaboration Guide" sheetId="3" r:id="R41105d85facf4e17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<x:sst xmlns:x="http://schemas.openxmlformats.org/spreadsheetml/2006/main">
  <x:si>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</x:si>
  <x:si>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</x:si>
  <x:si>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</x:si>
  <x:si>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</x:si>
  <x:si>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</x:si>
  <x:si>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</x:si>
  <x:si>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</x:si>
  <x:si>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</x:si>
  <x:si>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</x:si>
  <x:si>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</x:si>
  <x:si>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</x:si>
  <x:si>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</x:si>
  <x:si>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</x:si>
  <x:si>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</x:si>
  <x:si>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</x:si>
  <x:si>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</x:si>
  <x:si>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</x:si>
  <x:si>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</x:si>
  <x:si>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</x:si>
  <x:si>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</x:si>
  <x:si>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</x:si>
  <x:si>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</x:si>
  <x:si>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</x:si>
  <x:si>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</x:si>
  <x:si>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</x:si>
  <x:si>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</x:si>
  <x:si>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</x:si>
  <x:si>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</x:si>
  <x:si>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</x:si>
  <x:si>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</x:si>
  <x:si>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</x:si>
  <x:si>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</x:si>
  <x:si>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</x:si>
  <x:si>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</x:si>
  <x:si>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</x:si>
  <x:si>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</x:si>
  <x:si>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</x:si>
  <x:si>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</x:si>
  <x:si>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</x:si>
  <x:si>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</x:si>
  <x:si>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</x:si>
  <x:si>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</x:si>
  <x:si>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</x:si>
  <x:si>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</x:si>
  <x:si>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</x:si>
  <x:si>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</x:si>
  <x:si>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</x:si>
  <x:si>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</x:si>
  <x:si>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</x:si>
  <x:si>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</x:si>
  <x:si>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</x:si>
  <x:si>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</x:si>
  <x:si>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</x:si>
  <x:si>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</x:si>
  <x:si>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</x:si>
  <x:si>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</x:si>
  <x:si>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</x:si>
  <x:si>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</x:si>
  <x:si>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</x:si>
  <x:si>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</x:si>
  <x:si>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</x:si>
  <x:si>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</x:si>
  <x:si>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</x:si>
  <x:si>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</x:si>
  <x:si>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</x:si>
  <x:si>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</x:si>
  <x:si>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</x:si>
  <x:si>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</x:si>
  <x:si>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Not Started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</x:si>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</x:sst>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b3eb5441c4dab" /><Relationship Type="http://schemas.openxmlformats.org/officeDocument/2006/relationships/theme" Target="/xl/theme/theme1.xml" Id="R83df50baa3b94dd5" /><Relationship Type="http://schemas.openxmlformats.org/officeDocument/2006/relationships/sharedStrings" Target="/xl/sharedStrings.xml" Id="Rf4facc620071438d" /><Relationship Type="http://schemas.openxmlformats.org/officeDocument/2006/relationships/worksheet" Target="/xl/worksheets/sheet1.xml" Id="R404797516cdc42fb" /><Relationship Type="http://schemas.openxmlformats.org/officeDocument/2006/relationships/worksheet" Target="/xl/worksheets/sheet2.xml" Id="R14c1de64cfb6415d" /><Relationship Type="http://schemas.openxmlformats.org/officeDocument/2006/relationships/worksheet" Target="/xl/worksheets/sheet3.xml" Id="R41105d85facf4e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14</x:v>
      </x:c>
    </x:row>
    <x:row r="5">
      <x:c r="A5" s="3" t="s">
        <x:v>5</x:v>
      </x:c>
      <x:c r="B5" s="4" t="n">
        <x:f>COUNTIF('Task Register'!E5:E200,"Complete")</x:f>
        <x:v>18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A2.1 - Define Log-Mel feature contract and metadata schema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">
        <x:v>68</x:v>
      </x:c>
      <x:c r="F23" s="7" t="s">
        <x:v>69</x:v>
      </x:c>
    </x:row>
    <x:row r="24" ht="15" customHeight="1">
      <x:c r="A24" s="8" t="s">
        <x:v>65</x:v>
      </x:c>
      <x:c r="B24" s="7" t="s">
        <x:v>70</x:v>
      </x:c>
      <x:c r="C24" s="7" t="s">
        <x:v>71</x:v>
      </x:c>
      <x:c r="D24" s="9" t="str">
        <x:v>Person A</x:v>
      </x:c>
      <x:c r="E24" s="9" t="s">
        <x:v>68</x:v>
      </x:c>
      <x:c r="F24" s="7" t="s">
        <x:v>72</x:v>
      </x:c>
    </x:row>
    <x:row r="25" ht="15" customHeight="1">
      <x:c r="A25" s="8" t="s">
        <x:v>65</x:v>
      </x:c>
      <x:c r="B25" s="7" t="s">
        <x:v>73</x:v>
      </x:c>
      <x:c r="C25" s="7" t="s">
        <x:v>74</x:v>
      </x:c>
      <x:c r="D25" s="9" t="s">
        <x:v>6</x:v>
      </x:c>
      <x:c r="E25" s="9" t="s">
        <x:v>68</x:v>
      </x:c>
      <x:c r="F25" s="7" t="s">
        <x:v>72</x:v>
      </x:c>
    </x:row>
    <x:row r="26" ht="15" customHeight="1">
      <x:c r="A26" s="8" t="s">
        <x:v>65</x:v>
      </x:c>
      <x:c r="B26" s="7" t="s">
        <x:v>75</x:v>
      </x:c>
      <x:c r="C26" s="7" t="s">
        <x:v>76</x:v>
      </x:c>
      <x:c r="D26" s="9" t="str">
        <x:v>Person A</x:v>
      </x:c>
      <x:c r="E26" s="9" t="s">
        <x:v>68</x:v>
      </x:c>
      <x:c r="F26" s="7" t="s">
        <x:v>77</x:v>
      </x:c>
    </x:row>
    <x:row r="27" ht="15" customHeight="1">
      <x:c r="A27" s="8" t="s">
        <x:v>65</x:v>
      </x:c>
      <x:c r="B27" s="7" t="s">
        <x:v>78</x:v>
      </x:c>
      <x:c r="C27" s="7" t="s">
        <x:v>79</x:v>
      </x:c>
      <x:c r="D27" s="9" t="s">
        <x:v>6</x:v>
      </x:c>
      <x:c r="E27" s="9" t="s">
        <x:v>68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68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68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68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68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68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68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68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68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68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68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68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68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68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68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68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68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68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68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68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68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68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68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68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68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68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68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68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68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68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68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68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68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68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68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68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68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68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68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68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68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68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68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68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68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68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68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68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68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68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